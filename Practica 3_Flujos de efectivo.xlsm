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2246\Desktop\Nacho\"/>
    </mc:Choice>
  </mc:AlternateContent>
  <xr:revisionPtr revIDLastSave="0" documentId="13_ncr:1_{3715BE8B-53F2-4BFB-ABE8-9CB36E804860}" xr6:coauthVersionLast="41" xr6:coauthVersionMax="41" xr10:uidLastSave="{00000000-0000-0000-0000-000000000000}"/>
  <bookViews>
    <workbookView xWindow="-120" yWindow="-120" windowWidth="20730" windowHeight="11160" firstSheet="2" activeTab="4" xr2:uid="{A9C74949-FAC9-44A2-ADA1-ED0805667F9A}"/>
  </bookViews>
  <sheets>
    <sheet name="Hoja10" sheetId="10" r:id="rId1"/>
    <sheet name="Hoja4" sheetId="13" r:id="rId2"/>
    <sheet name="Hoja3" sheetId="12" r:id="rId3"/>
    <sheet name="Hoja1" sheetId="1" r:id="rId4"/>
    <sheet name="Hoja6" sheetId="16" r:id="rId5"/>
    <sheet name="Hoja5" sheetId="15" r:id="rId6"/>
    <sheet name="Hoja2" sheetId="1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1" l="1"/>
  <c r="C11" i="1" l="1"/>
  <c r="B11" i="1"/>
  <c r="D10" i="1" l="1"/>
  <c r="E10" i="1" s="1"/>
  <c r="F10" i="1" s="1"/>
  <c r="G10" i="1" s="1"/>
  <c r="H10" i="1" s="1"/>
  <c r="I10" i="1" s="1"/>
  <c r="J10" i="1" s="1"/>
  <c r="K10" i="1" s="1"/>
  <c r="B13" i="1"/>
  <c r="D11" i="1"/>
  <c r="E11" i="1"/>
  <c r="F11" i="1"/>
  <c r="G11" i="1"/>
  <c r="H11" i="1"/>
  <c r="I11" i="1"/>
  <c r="J11" i="1"/>
  <c r="K11" i="1"/>
</calcChain>
</file>

<file path=xl/sharedStrings.xml><?xml version="1.0" encoding="utf-8"?>
<sst xmlns="http://schemas.openxmlformats.org/spreadsheetml/2006/main" count="71" uniqueCount="18">
  <si>
    <t>Datos de entrada</t>
  </si>
  <si>
    <t>Cálculo de el valor presente neto de una serie de flujos</t>
  </si>
  <si>
    <t xml:space="preserve">5. Tasa de descuento </t>
  </si>
  <si>
    <t>4. Número de años de los flujos de entrada</t>
  </si>
  <si>
    <t>3. Tasa de incremento del flujo de entrada al año</t>
  </si>
  <si>
    <t>2. Flujo de entrada al final del año 1</t>
  </si>
  <si>
    <t>1. Flujo de salida al inicio del año 1</t>
  </si>
  <si>
    <t>1. Flujo de salida al inicio del año 1 (Inv. Inicial)</t>
  </si>
  <si>
    <t>Modulo de Flujos</t>
  </si>
  <si>
    <t xml:space="preserve">Año </t>
  </si>
  <si>
    <t>Flujo de efectivo</t>
  </si>
  <si>
    <t>Valor presente neto</t>
  </si>
  <si>
    <t>Factor de descuento</t>
  </si>
  <si>
    <t>5. Tasa de descuento</t>
  </si>
  <si>
    <t>Módulo de flujos</t>
  </si>
  <si>
    <t>Año</t>
  </si>
  <si>
    <t>Tasa</t>
  </si>
  <si>
    <t>VPN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</si>
</sst>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3" fontId="0" fillId="0" borderId="0" xfId="0" applyNumberFormat="1"/>
    <xf numFmtId="9" fontId="0" fillId="0" borderId="0" xfId="0" applyNumberFormat="1"/>
    <xf numFmtId="3" fontId="0" fillId="2" borderId="0" xfId="0" applyNumberFormat="1" applyFill="1"/>
    <xf numFmtId="9" fontId="0" fillId="2" borderId="0" xfId="0" applyNumberFormat="1" applyFill="1"/>
    <xf numFmtId="0" fontId="0" fillId="2" borderId="0" xfId="0" applyFill="1"/>
    <xf numFmtId="44" fontId="0" fillId="2" borderId="0" xfId="1" applyFont="1" applyFill="1"/>
    <xf numFmtId="44" fontId="0" fillId="0" borderId="0" xfId="1" applyFont="1"/>
    <xf numFmtId="0" fontId="2" fillId="0" borderId="0" xfId="0" applyFont="1"/>
    <xf numFmtId="9" fontId="0" fillId="2" borderId="0" xfId="2" applyFont="1" applyFill="1"/>
    <xf numFmtId="9" fontId="0" fillId="0" borderId="0" xfId="2" applyFon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541AD-A8E4-459C-84A2-304E77409305}">
  <sheetPr codeName="Hoja10"/>
  <dimension ref="A1:K13"/>
  <sheetViews>
    <sheetView workbookViewId="0"/>
  </sheetViews>
  <sheetFormatPr baseColWidth="10" defaultRowHeight="15" x14ac:dyDescent="0.25"/>
  <cols>
    <col min="1" max="1" width="44.7109375" bestFit="1" customWidth="1"/>
  </cols>
  <sheetData>
    <row r="1" spans="1:11" x14ac:dyDescent="0.25">
      <c r="A1" s="8" t="s">
        <v>0</v>
      </c>
    </row>
    <row r="2" spans="1:11" x14ac:dyDescent="0.25">
      <c r="A2" t="s">
        <v>6</v>
      </c>
      <c r="B2" s="6">
        <v>40000</v>
      </c>
    </row>
    <row r="3" spans="1:11" x14ac:dyDescent="0.25">
      <c r="A3" t="s">
        <v>5</v>
      </c>
      <c r="B3" s="6">
        <v>12000</v>
      </c>
    </row>
    <row r="4" spans="1:11" x14ac:dyDescent="0.25">
      <c r="A4" t="s">
        <v>4</v>
      </c>
      <c r="B4" s="9">
        <v>0.11999999731779099</v>
      </c>
    </row>
    <row r="5" spans="1:11" x14ac:dyDescent="0.25">
      <c r="A5" t="s">
        <v>3</v>
      </c>
      <c r="B5" s="5">
        <v>10</v>
      </c>
    </row>
    <row r="6" spans="1:11" x14ac:dyDescent="0.25">
      <c r="A6" t="s">
        <v>13</v>
      </c>
      <c r="B6" s="9">
        <v>0.15999999642372131</v>
      </c>
    </row>
    <row r="8" spans="1:11" x14ac:dyDescent="0.25">
      <c r="A8" t="s">
        <v>14</v>
      </c>
    </row>
    <row r="9" spans="1:11" x14ac:dyDescent="0.25">
      <c r="A9" t="s">
        <v>15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10</v>
      </c>
      <c r="B10" s="7">
        <v>12000</v>
      </c>
      <c r="C10" s="7">
        <v>13440.000057220459</v>
      </c>
      <c r="D10" s="7">
        <v>15052.800128173829</v>
      </c>
      <c r="E10" s="7">
        <v>16859.136215332033</v>
      </c>
      <c r="F10" s="7">
        <v>18882.232641562499</v>
      </c>
      <c r="G10" s="7">
        <v>21148.100648587504</v>
      </c>
      <c r="H10" s="7">
        <v>23685.872827260006</v>
      </c>
      <c r="I10" s="7">
        <v>26528.177679474251</v>
      </c>
      <c r="J10" s="7">
        <v>29711.559127507371</v>
      </c>
      <c r="K10" s="7">
        <v>33276.946364484007</v>
      </c>
    </row>
    <row r="11" spans="1:11" x14ac:dyDescent="0.25">
      <c r="A11" t="s">
        <v>12</v>
      </c>
      <c r="B11" s="10">
        <v>0.86206901073455811</v>
      </c>
      <c r="C11" s="10">
        <v>0.75757580995559692</v>
      </c>
      <c r="D11" s="10">
        <v>0.67567569017410278</v>
      </c>
      <c r="E11" s="10">
        <v>0.60975611209869385</v>
      </c>
      <c r="F11" s="10">
        <v>0.55555558204650879</v>
      </c>
      <c r="G11" s="10">
        <v>0.51020407676696777</v>
      </c>
      <c r="H11" s="10">
        <v>0.47169813513755798</v>
      </c>
      <c r="I11" s="10">
        <v>0.43859648704528809</v>
      </c>
      <c r="J11" s="10">
        <v>0.4098360538482666</v>
      </c>
      <c r="K11" s="10">
        <v>0.38461539149284363</v>
      </c>
    </row>
    <row r="13" spans="1:11" x14ac:dyDescent="0.25">
      <c r="A13" s="8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2EDF5-2B43-4F35-8E78-9B4F0A503FCF}">
  <sheetPr codeName="Hoja4"/>
  <dimension ref="A1:K13"/>
  <sheetViews>
    <sheetView workbookViewId="0">
      <selection activeCell="B11" sqref="B11"/>
    </sheetView>
  </sheetViews>
  <sheetFormatPr baseColWidth="10" defaultRowHeight="15" x14ac:dyDescent="0.25"/>
  <cols>
    <col min="1" max="1" width="44.7109375" bestFit="1" customWidth="1"/>
  </cols>
  <sheetData>
    <row r="1" spans="1:11" x14ac:dyDescent="0.25">
      <c r="A1" s="8" t="s">
        <v>0</v>
      </c>
    </row>
    <row r="2" spans="1:11" x14ac:dyDescent="0.25">
      <c r="A2" t="s">
        <v>6</v>
      </c>
      <c r="B2" s="6">
        <v>40000</v>
      </c>
    </row>
    <row r="3" spans="1:11" x14ac:dyDescent="0.25">
      <c r="A3" t="s">
        <v>5</v>
      </c>
      <c r="B3" s="6">
        <v>12000</v>
      </c>
    </row>
    <row r="4" spans="1:11" x14ac:dyDescent="0.25">
      <c r="A4" t="s">
        <v>4</v>
      </c>
      <c r="B4" s="9">
        <v>0.11999999731779099</v>
      </c>
    </row>
    <row r="5" spans="1:11" x14ac:dyDescent="0.25">
      <c r="A5" t="s">
        <v>3</v>
      </c>
      <c r="B5" s="5">
        <v>10</v>
      </c>
    </row>
    <row r="6" spans="1:11" x14ac:dyDescent="0.25">
      <c r="A6" t="s">
        <v>13</v>
      </c>
      <c r="B6" s="9">
        <v>0.15999999642372131</v>
      </c>
    </row>
    <row r="8" spans="1:11" x14ac:dyDescent="0.25">
      <c r="A8" t="s">
        <v>14</v>
      </c>
    </row>
    <row r="9" spans="1:11" x14ac:dyDescent="0.25">
      <c r="A9" t="s">
        <v>15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10</v>
      </c>
      <c r="B10" s="7">
        <v>12000</v>
      </c>
      <c r="C10" s="7">
        <v>13440.000057220401</v>
      </c>
      <c r="D10" s="7">
        <v>15052.800128173829</v>
      </c>
      <c r="E10" s="7">
        <v>16859.136215332033</v>
      </c>
      <c r="F10" s="7">
        <v>18882.232641562499</v>
      </c>
      <c r="G10" s="7">
        <v>21148.100648587504</v>
      </c>
      <c r="H10" s="7">
        <v>23685.872827260006</v>
      </c>
      <c r="I10" s="7">
        <v>26528.177679474251</v>
      </c>
      <c r="J10" s="7">
        <v>29711.559127507371</v>
      </c>
      <c r="K10" s="7">
        <v>33276.946364484007</v>
      </c>
    </row>
    <row r="11" spans="1:11" x14ac:dyDescent="0.25">
      <c r="A11" t="s">
        <v>12</v>
      </c>
      <c r="B11" s="10">
        <v>0.86206901073455799</v>
      </c>
      <c r="C11" s="10">
        <v>0.75757580995559692</v>
      </c>
      <c r="D11" s="10">
        <v>0.67567569017410278</v>
      </c>
      <c r="E11" s="10">
        <v>0.60975611209869385</v>
      </c>
      <c r="F11" s="10">
        <v>0.55555558204650879</v>
      </c>
      <c r="G11" s="10">
        <v>0.51020407676696777</v>
      </c>
      <c r="H11" s="10">
        <v>0.47169813513755798</v>
      </c>
      <c r="I11" s="10">
        <v>0.43859648704528809</v>
      </c>
      <c r="J11" s="10">
        <v>0.4098360538482666</v>
      </c>
      <c r="K11" s="10">
        <v>0.38461539149284363</v>
      </c>
    </row>
    <row r="13" spans="1:11" x14ac:dyDescent="0.25">
      <c r="A13" s="8" t="s">
        <v>11</v>
      </c>
      <c r="B13" s="7">
        <v>70040.837917748897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96D3-7D9A-4A43-A6CD-DD52475B19A0}">
  <sheetPr codeName="Hoja3"/>
  <dimension ref="A1:K13"/>
  <sheetViews>
    <sheetView workbookViewId="0"/>
  </sheetViews>
  <sheetFormatPr baseColWidth="10" defaultRowHeight="15" x14ac:dyDescent="0.25"/>
  <cols>
    <col min="1" max="1" width="44.7109375" bestFit="1" customWidth="1"/>
  </cols>
  <sheetData>
    <row r="1" spans="1:11" x14ac:dyDescent="0.25">
      <c r="A1" s="8" t="s">
        <v>0</v>
      </c>
    </row>
    <row r="2" spans="1:11" x14ac:dyDescent="0.25">
      <c r="A2" t="s">
        <v>6</v>
      </c>
      <c r="B2" s="6">
        <v>40000</v>
      </c>
    </row>
    <row r="3" spans="1:11" x14ac:dyDescent="0.25">
      <c r="A3" t="s">
        <v>5</v>
      </c>
      <c r="B3" s="6">
        <v>12000</v>
      </c>
    </row>
    <row r="4" spans="1:11" x14ac:dyDescent="0.25">
      <c r="A4" t="s">
        <v>4</v>
      </c>
      <c r="B4" s="9">
        <v>0.11999999731779099</v>
      </c>
    </row>
    <row r="5" spans="1:11" x14ac:dyDescent="0.25">
      <c r="A5" t="s">
        <v>3</v>
      </c>
      <c r="B5" s="5">
        <v>10</v>
      </c>
    </row>
    <row r="6" spans="1:11" x14ac:dyDescent="0.25">
      <c r="A6" t="s">
        <v>13</v>
      </c>
      <c r="B6" s="9">
        <v>0.15999999642372131</v>
      </c>
    </row>
    <row r="8" spans="1:11" x14ac:dyDescent="0.25">
      <c r="A8" t="s">
        <v>14</v>
      </c>
    </row>
    <row r="9" spans="1:11" x14ac:dyDescent="0.25">
      <c r="A9" t="s">
        <v>15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10</v>
      </c>
      <c r="B10" s="7">
        <v>12000</v>
      </c>
      <c r="C10" s="7">
        <v>13440.000057220459</v>
      </c>
      <c r="D10" s="7">
        <v>15052.800128173829</v>
      </c>
      <c r="E10" s="7">
        <v>16859.136215332033</v>
      </c>
      <c r="F10" s="7">
        <v>18882.232641562499</v>
      </c>
      <c r="G10" s="7">
        <v>21148.100648587504</v>
      </c>
      <c r="H10" s="7">
        <v>23685.872827260006</v>
      </c>
      <c r="I10" s="7">
        <v>26528.177679474251</v>
      </c>
      <c r="J10" s="7">
        <v>29711.559127507371</v>
      </c>
      <c r="K10" s="7">
        <v>33276.946364484007</v>
      </c>
    </row>
    <row r="11" spans="1:11" x14ac:dyDescent="0.25">
      <c r="A11" t="s">
        <v>12</v>
      </c>
      <c r="B11" s="10">
        <v>0.86206901073455811</v>
      </c>
      <c r="C11" s="10">
        <v>0.75757580995559692</v>
      </c>
      <c r="D11" s="10">
        <v>0.67567569017410278</v>
      </c>
      <c r="E11" s="10">
        <v>0.60975611209869385</v>
      </c>
      <c r="F11" s="10">
        <v>0.55555558204650879</v>
      </c>
      <c r="G11" s="10">
        <v>0.51020407676696777</v>
      </c>
      <c r="H11" s="10">
        <v>0.47169813513755798</v>
      </c>
      <c r="I11" s="10">
        <v>0.43859648704528809</v>
      </c>
      <c r="J11" s="10">
        <v>0.4098360538482666</v>
      </c>
      <c r="K11" s="10">
        <v>0.38461539149284363</v>
      </c>
    </row>
    <row r="13" spans="1:11" x14ac:dyDescent="0.25">
      <c r="A13" s="8" t="s">
        <v>11</v>
      </c>
      <c r="B13" s="7">
        <v>70040.837917748897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186CC-E5E1-41EC-8A16-4A981E5EE969}">
  <sheetPr codeName="Hoja1"/>
  <dimension ref="A1:K13"/>
  <sheetViews>
    <sheetView workbookViewId="0">
      <selection activeCell="C12" sqref="C12"/>
    </sheetView>
  </sheetViews>
  <sheetFormatPr baseColWidth="10" defaultRowHeight="15" x14ac:dyDescent="0.25"/>
  <cols>
    <col min="1" max="1" width="44.7109375" bestFit="1" customWidth="1"/>
    <col min="2" max="2" width="12.5703125" bestFit="1" customWidth="1"/>
  </cols>
  <sheetData>
    <row r="1" spans="1:11" x14ac:dyDescent="0.25">
      <c r="A1" s="8" t="s">
        <v>0</v>
      </c>
      <c r="B1" s="1"/>
      <c r="D1" t="s">
        <v>1</v>
      </c>
    </row>
    <row r="2" spans="1:11" x14ac:dyDescent="0.25">
      <c r="A2" t="s">
        <v>7</v>
      </c>
      <c r="B2" s="3">
        <v>40000</v>
      </c>
    </row>
    <row r="3" spans="1:11" x14ac:dyDescent="0.25">
      <c r="A3" t="s">
        <v>5</v>
      </c>
      <c r="B3" s="6">
        <v>12000</v>
      </c>
    </row>
    <row r="4" spans="1:11" x14ac:dyDescent="0.25">
      <c r="A4" t="s">
        <v>4</v>
      </c>
      <c r="B4" s="4">
        <v>0.12</v>
      </c>
    </row>
    <row r="5" spans="1:11" x14ac:dyDescent="0.25">
      <c r="A5" t="s">
        <v>3</v>
      </c>
      <c r="B5" s="5">
        <v>10</v>
      </c>
    </row>
    <row r="6" spans="1:11" x14ac:dyDescent="0.25">
      <c r="A6" t="s">
        <v>2</v>
      </c>
      <c r="B6" s="4">
        <v>0.16</v>
      </c>
    </row>
    <row r="8" spans="1:11" x14ac:dyDescent="0.25">
      <c r="A8" t="s">
        <v>8</v>
      </c>
    </row>
    <row r="9" spans="1:11" x14ac:dyDescent="0.25">
      <c r="A9" t="s">
        <v>9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10</v>
      </c>
      <c r="B10" s="7">
        <v>12000</v>
      </c>
      <c r="C10" s="7">
        <f>B10*(1+$B$4)</f>
        <v>13440.000000000002</v>
      </c>
      <c r="D10" s="7">
        <f t="shared" ref="D10:K10" si="0">C10*(1+$B$4)</f>
        <v>15052.800000000003</v>
      </c>
      <c r="E10" s="7">
        <f t="shared" si="0"/>
        <v>16859.136000000006</v>
      </c>
      <c r="F10" s="7">
        <f t="shared" si="0"/>
        <v>18882.23232000001</v>
      </c>
      <c r="G10" s="7">
        <f t="shared" si="0"/>
        <v>21148.100198400014</v>
      </c>
      <c r="H10" s="7">
        <f t="shared" si="0"/>
        <v>23685.872222208018</v>
      </c>
      <c r="I10" s="7">
        <f t="shared" si="0"/>
        <v>26528.176888872982</v>
      </c>
      <c r="J10" s="7">
        <f t="shared" si="0"/>
        <v>29711.558115537744</v>
      </c>
      <c r="K10" s="7">
        <f t="shared" si="0"/>
        <v>33276.945089402274</v>
      </c>
    </row>
    <row r="11" spans="1:11" x14ac:dyDescent="0.25">
      <c r="A11" t="s">
        <v>12</v>
      </c>
      <c r="B11" s="2">
        <f>1/(1+$B$6)</f>
        <v>0.86206896551724144</v>
      </c>
      <c r="C11" s="2">
        <f>1/(1+C9*$B$6)</f>
        <v>0.75757575757575757</v>
      </c>
      <c r="D11" s="2">
        <f t="shared" ref="D11:K11" si="1">1/(1+D9*$B$6)</f>
        <v>0.67567567567567566</v>
      </c>
      <c r="E11" s="2">
        <f t="shared" si="1"/>
        <v>0.6097560975609756</v>
      </c>
      <c r="F11" s="2">
        <f t="shared" si="1"/>
        <v>0.55555555555555558</v>
      </c>
      <c r="G11" s="2">
        <f t="shared" si="1"/>
        <v>0.51020408163265307</v>
      </c>
      <c r="H11" s="2">
        <f t="shared" si="1"/>
        <v>0.47169811320754712</v>
      </c>
      <c r="I11" s="2">
        <f t="shared" si="1"/>
        <v>0.43859649122807015</v>
      </c>
      <c r="J11" s="2">
        <f t="shared" si="1"/>
        <v>0.4098360655737705</v>
      </c>
      <c r="K11" s="2">
        <f t="shared" si="1"/>
        <v>0.38461538461538458</v>
      </c>
    </row>
    <row r="13" spans="1:11" x14ac:dyDescent="0.25">
      <c r="A13" t="s">
        <v>11</v>
      </c>
      <c r="B13" s="7">
        <f>-B2+B10*B11+C10*C11+D10*D11+E10*E11+F10*F11+G10*G11+H10*H11+I10*I11+J10*J11+K10*K11</f>
        <v>70040.833314664094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58D72-5C1F-4EB8-B09E-C7992D5D9979}">
  <sheetPr codeName="Hoja6"/>
  <dimension ref="A1:K20"/>
  <sheetViews>
    <sheetView tabSelected="1" workbookViewId="0">
      <selection activeCell="B22" sqref="B22:K24"/>
    </sheetView>
  </sheetViews>
  <sheetFormatPr baseColWidth="10" defaultRowHeight="15" x14ac:dyDescent="0.25"/>
  <cols>
    <col min="1" max="1" width="44.7109375" bestFit="1" customWidth="1"/>
  </cols>
  <sheetData>
    <row r="1" spans="1:11" x14ac:dyDescent="0.25">
      <c r="A1" s="8" t="s">
        <v>0</v>
      </c>
    </row>
    <row r="2" spans="1:11" x14ac:dyDescent="0.25">
      <c r="A2" t="s">
        <v>6</v>
      </c>
      <c r="B2" s="6">
        <v>40000</v>
      </c>
    </row>
    <row r="3" spans="1:11" x14ac:dyDescent="0.25">
      <c r="A3" t="s">
        <v>5</v>
      </c>
      <c r="B3" s="6">
        <v>12000</v>
      </c>
    </row>
    <row r="4" spans="1:11" x14ac:dyDescent="0.25">
      <c r="A4" t="s">
        <v>4</v>
      </c>
      <c r="B4" s="9">
        <v>0.11999999731779099</v>
      </c>
    </row>
    <row r="5" spans="1:11" x14ac:dyDescent="0.25">
      <c r="A5" t="s">
        <v>3</v>
      </c>
      <c r="B5" s="5">
        <v>10</v>
      </c>
    </row>
    <row r="6" spans="1:11" x14ac:dyDescent="0.25">
      <c r="A6" t="s">
        <v>13</v>
      </c>
      <c r="B6" s="9">
        <v>0.15999999642372131</v>
      </c>
    </row>
    <row r="8" spans="1:11" x14ac:dyDescent="0.25">
      <c r="A8" t="s">
        <v>14</v>
      </c>
    </row>
    <row r="9" spans="1:11" x14ac:dyDescent="0.25">
      <c r="A9" t="s">
        <v>15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10</v>
      </c>
      <c r="B10" s="7">
        <v>12000</v>
      </c>
      <c r="C10" s="7">
        <v>13440.000057220459</v>
      </c>
      <c r="D10" s="7">
        <v>15052.800128173829</v>
      </c>
      <c r="E10" s="7">
        <v>16859.136215332033</v>
      </c>
      <c r="F10" s="7">
        <v>18882.232641562499</v>
      </c>
      <c r="G10" s="7">
        <v>21148.100648587504</v>
      </c>
      <c r="H10" s="7">
        <v>23685.872827260006</v>
      </c>
      <c r="I10" s="7">
        <v>26528.177679474251</v>
      </c>
      <c r="J10" s="7">
        <v>29711.559127507371</v>
      </c>
      <c r="K10" s="7">
        <v>33276.946364484007</v>
      </c>
    </row>
    <row r="11" spans="1:11" x14ac:dyDescent="0.25">
      <c r="A11" t="s">
        <v>12</v>
      </c>
      <c r="B11" s="10">
        <v>0.86206901073455811</v>
      </c>
      <c r="C11" s="10">
        <v>0.75757580995559692</v>
      </c>
      <c r="D11" s="10">
        <v>0.67567569017410278</v>
      </c>
      <c r="E11" s="10">
        <v>0.60975611209869385</v>
      </c>
      <c r="F11" s="10">
        <v>0.55555558204650879</v>
      </c>
      <c r="G11" s="10">
        <v>0.51020407676696777</v>
      </c>
      <c r="H11" s="10">
        <v>0.47169813513755798</v>
      </c>
      <c r="I11" s="10">
        <v>0.43859648704528809</v>
      </c>
      <c r="J11" s="10">
        <v>0.4098360538482666</v>
      </c>
      <c r="K11" s="10">
        <v>0.38461539149284363</v>
      </c>
    </row>
    <row r="13" spans="1:11" x14ac:dyDescent="0.25">
      <c r="A13" s="8" t="s">
        <v>11</v>
      </c>
      <c r="B13" s="7">
        <v>70040.837917748897</v>
      </c>
    </row>
    <row r="15" spans="1:11" x14ac:dyDescent="0.25">
      <c r="B15" t="s">
        <v>16</v>
      </c>
      <c r="C15" t="s">
        <v>17</v>
      </c>
    </row>
    <row r="16" spans="1:11" x14ac:dyDescent="0.25">
      <c r="B16" s="10">
        <v>0.2</v>
      </c>
      <c r="C16" s="7">
        <v>59203.921499841097</v>
      </c>
    </row>
    <row r="17" spans="2:3" x14ac:dyDescent="0.25">
      <c r="B17" s="10">
        <v>0.3</v>
      </c>
      <c r="C17" s="7"/>
    </row>
    <row r="18" spans="2:3" x14ac:dyDescent="0.25">
      <c r="B18" s="10">
        <v>0.9</v>
      </c>
      <c r="C18" s="7"/>
    </row>
    <row r="19" spans="2:3" x14ac:dyDescent="0.25">
      <c r="B19" s="10">
        <v>0.1</v>
      </c>
      <c r="C19" s="7"/>
    </row>
    <row r="20" spans="2:3" x14ac:dyDescent="0.25">
      <c r="B20" s="10">
        <v>0.2</v>
      </c>
      <c r="C20" s="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F744A-4BCA-4A46-A579-A2B881D82CDE}">
  <sheetPr codeName="Hoja5"/>
  <dimension ref="A1:K20"/>
  <sheetViews>
    <sheetView workbookViewId="0">
      <selection activeCell="B22" sqref="B22:K24"/>
    </sheetView>
  </sheetViews>
  <sheetFormatPr baseColWidth="10" defaultRowHeight="15" x14ac:dyDescent="0.25"/>
  <cols>
    <col min="1" max="1" width="44.7109375" bestFit="1" customWidth="1"/>
  </cols>
  <sheetData>
    <row r="1" spans="1:11" x14ac:dyDescent="0.25">
      <c r="A1" s="8" t="s">
        <v>0</v>
      </c>
    </row>
    <row r="2" spans="1:11" x14ac:dyDescent="0.25">
      <c r="A2" t="s">
        <v>6</v>
      </c>
      <c r="B2" s="6">
        <v>40000</v>
      </c>
    </row>
    <row r="3" spans="1:11" x14ac:dyDescent="0.25">
      <c r="A3" t="s">
        <v>5</v>
      </c>
      <c r="B3" s="6">
        <v>12000</v>
      </c>
    </row>
    <row r="4" spans="1:11" x14ac:dyDescent="0.25">
      <c r="A4" t="s">
        <v>4</v>
      </c>
      <c r="B4" s="9">
        <v>0.11999999731779099</v>
      </c>
    </row>
    <row r="5" spans="1:11" x14ac:dyDescent="0.25">
      <c r="A5" t="s">
        <v>3</v>
      </c>
      <c r="B5" s="5">
        <v>10</v>
      </c>
    </row>
    <row r="6" spans="1:11" x14ac:dyDescent="0.25">
      <c r="A6" t="s">
        <v>13</v>
      </c>
      <c r="B6" s="9">
        <v>0.15999999642372131</v>
      </c>
    </row>
    <row r="8" spans="1:11" x14ac:dyDescent="0.25">
      <c r="A8" t="s">
        <v>14</v>
      </c>
    </row>
    <row r="9" spans="1:11" x14ac:dyDescent="0.25">
      <c r="A9" t="s">
        <v>15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10</v>
      </c>
      <c r="B10" s="7">
        <v>12000</v>
      </c>
      <c r="C10" s="7">
        <v>13440.000057220459</v>
      </c>
      <c r="D10" s="7">
        <v>15052.800128173829</v>
      </c>
      <c r="E10" s="7">
        <v>16859.136215332033</v>
      </c>
      <c r="F10" s="7">
        <v>18882.232641562499</v>
      </c>
      <c r="G10" s="7">
        <v>21148.100648587504</v>
      </c>
      <c r="H10" s="7">
        <v>23685.872827260006</v>
      </c>
      <c r="I10" s="7">
        <v>26528.177679474251</v>
      </c>
      <c r="J10" s="7">
        <v>29711.559127507371</v>
      </c>
      <c r="K10" s="7">
        <v>33276.946364484007</v>
      </c>
    </row>
    <row r="11" spans="1:11" x14ac:dyDescent="0.25">
      <c r="A11" t="s">
        <v>12</v>
      </c>
      <c r="B11" s="10">
        <v>0.86206901073455811</v>
      </c>
      <c r="C11" s="10">
        <v>0.75757580995559692</v>
      </c>
      <c r="D11" s="10">
        <v>0.67567569017410278</v>
      </c>
      <c r="E11" s="10">
        <v>0.60975611209869385</v>
      </c>
      <c r="F11" s="10">
        <v>0.55555558204650879</v>
      </c>
      <c r="G11" s="10">
        <v>0.51020407676696777</v>
      </c>
      <c r="H11" s="10">
        <v>0.47169813513755798</v>
      </c>
      <c r="I11" s="10">
        <v>0.43859648704528809</v>
      </c>
      <c r="J11" s="10">
        <v>0.4098360538482666</v>
      </c>
      <c r="K11" s="10">
        <v>0.38461539149284363</v>
      </c>
    </row>
    <row r="13" spans="1:11" x14ac:dyDescent="0.25">
      <c r="A13" s="8" t="s">
        <v>11</v>
      </c>
      <c r="B13" s="7">
        <v>70040.837917748897</v>
      </c>
    </row>
    <row r="15" spans="1:11" x14ac:dyDescent="0.25">
      <c r="B15" t="s">
        <v>16</v>
      </c>
      <c r="C15" t="s">
        <v>17</v>
      </c>
    </row>
    <row r="16" spans="1:11" x14ac:dyDescent="0.25">
      <c r="B16" s="10">
        <v>0.12</v>
      </c>
      <c r="C16" s="7">
        <v>92483.003743240988</v>
      </c>
    </row>
    <row r="17" spans="2:3" x14ac:dyDescent="0.25">
      <c r="B17" s="10">
        <v>0.14000000000000001</v>
      </c>
      <c r="C17" s="7"/>
    </row>
    <row r="18" spans="2:3" x14ac:dyDescent="0.25">
      <c r="B18" s="10">
        <v>0.1</v>
      </c>
      <c r="C18" s="7"/>
    </row>
    <row r="19" spans="2:3" x14ac:dyDescent="0.25">
      <c r="B19" s="10">
        <v>0.18</v>
      </c>
      <c r="C19" s="7"/>
    </row>
    <row r="20" spans="2:3" x14ac:dyDescent="0.25">
      <c r="B20" s="10">
        <v>0.1</v>
      </c>
      <c r="C20" s="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551C-0B13-4397-BD20-456BF4A286F8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Hoja10</vt:lpstr>
      <vt:lpstr>Hoja4</vt:lpstr>
      <vt:lpstr>Hoja3</vt:lpstr>
      <vt:lpstr>Hoja1</vt:lpstr>
      <vt:lpstr>Hoja6</vt:lpstr>
      <vt:lpstr>Hoja5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52246</dc:creator>
  <cp:lastModifiedBy>52246</cp:lastModifiedBy>
  <cp:lastPrinted>2019-02-14T00:38:09Z</cp:lastPrinted>
  <dcterms:created xsi:type="dcterms:W3CDTF">2019-02-14T00:33:17Z</dcterms:created>
  <dcterms:modified xsi:type="dcterms:W3CDTF">2019-03-12T00:25:09Z</dcterms:modified>
</cp:coreProperties>
</file>